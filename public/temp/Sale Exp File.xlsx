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P18" i="1" l="1"/>
  <c r="N18" i="1"/>
  <c r="O18" i="1"/>
  <c r="P17" i="1"/>
  <c r="O17" i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3" i="1"/>
  <c r="N2" i="1"/>
  <c r="O16" i="1"/>
  <c r="P2" i="1"/>
  <c r="O15" i="1"/>
  <c r="O2" i="1"/>
  <c r="O3" i="1" s="1"/>
  <c r="O4" i="1" s="1"/>
  <c r="P11" i="1" l="1"/>
  <c r="P3" i="1"/>
  <c r="P5" i="1"/>
  <c r="P7" i="1"/>
  <c r="P9" i="1"/>
  <c r="P4" i="1"/>
  <c r="P6" i="1"/>
  <c r="P8" i="1"/>
  <c r="P10" i="1"/>
  <c r="O5" i="1"/>
  <c r="O6" i="1" s="1"/>
  <c r="O7" i="1" s="1"/>
  <c r="O8" i="1" s="1"/>
  <c r="O9" i="1" s="1"/>
  <c r="O10" i="1" s="1"/>
  <c r="O11" i="1" s="1"/>
  <c r="O12" i="1" s="1"/>
  <c r="O13" i="1" s="1"/>
  <c r="O14" i="1" s="1"/>
  <c r="P12" i="1" l="1"/>
  <c r="P13" i="1" l="1"/>
  <c r="P14" i="1" l="1"/>
  <c r="P16" i="1" l="1"/>
  <c r="P15" i="1"/>
</calcChain>
</file>

<file path=xl/sharedStrings.xml><?xml version="1.0" encoding="utf-8"?>
<sst xmlns="http://schemas.openxmlformats.org/spreadsheetml/2006/main" count="35" uniqueCount="30">
  <si>
    <t>Sr</t>
  </si>
  <si>
    <t>Date</t>
  </si>
  <si>
    <t>PARTICULAR</t>
  </si>
  <si>
    <t>Sale</t>
  </si>
  <si>
    <t>Sale Pending Balance</t>
  </si>
  <si>
    <t>Client Payment (Mon)</t>
  </si>
  <si>
    <t>Exp Amt</t>
  </si>
  <si>
    <t>Exp By GP / Paytm / Account</t>
  </si>
  <si>
    <t>PAYTM / ACCOUNT / GP SALE</t>
  </si>
  <si>
    <t>Balance</t>
  </si>
  <si>
    <t>Client Payment Balance</t>
  </si>
  <si>
    <t>Opening Balance</t>
  </si>
  <si>
    <t>U63190711</t>
  </si>
  <si>
    <t xml:space="preserve"> </t>
  </si>
  <si>
    <t>Remarks</t>
  </si>
  <si>
    <t>Total Balance</t>
  </si>
  <si>
    <t>Cash Sale</t>
  </si>
  <si>
    <t xml:space="preserve">Sale </t>
  </si>
  <si>
    <t>Luis Phillipe</t>
  </si>
  <si>
    <t xml:space="preserve">Virendra Tour </t>
  </si>
  <si>
    <t>Surya Toour</t>
  </si>
  <si>
    <t>Vijay Tour</t>
  </si>
  <si>
    <t>Office Exp</t>
  </si>
  <si>
    <t>Closing Balance</t>
  </si>
  <si>
    <t>ABC Payment Dec 26</t>
  </si>
  <si>
    <t>Bank Deposit</t>
  </si>
  <si>
    <t>Emp Advance</t>
  </si>
  <si>
    <t>Virendra Advance</t>
  </si>
  <si>
    <t>COD Received</t>
  </si>
  <si>
    <t>U23532555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</si>
</sst>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5" fontId="0" fillId="0" borderId="1" xfId="0" applyNumberFormat="1" applyBorder="1"/>
    <xf numFmtId="0" fontId="1" fillId="7" borderId="1" xfId="0" applyFont="1" applyFill="1" applyBorder="1" applyAlignment="1">
      <alignment horizontal="left"/>
    </xf>
    <xf numFmtId="0" fontId="0" fillId="0" borderId="1" xfId="0" applyBorder="1"/>
    <xf numFmtId="0" fontId="0" fillId="8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Q7" sqref="Q7"/>
    </sheetView>
  </sheetViews>
  <sheetFormatPr defaultRowHeight="15" x14ac:dyDescent="0.25"/>
  <cols>
    <col min="3" max="3" width="32.5703125" bestFit="1" customWidth="1"/>
  </cols>
  <sheetData>
    <row r="1" spans="1:18" ht="60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16</v>
      </c>
      <c r="F1" s="3" t="s">
        <v>28</v>
      </c>
      <c r="G1" s="1" t="s">
        <v>8</v>
      </c>
      <c r="H1" s="4" t="s">
        <v>4</v>
      </c>
      <c r="I1" s="5" t="s">
        <v>5</v>
      </c>
      <c r="J1" s="6" t="s">
        <v>6</v>
      </c>
      <c r="K1" s="4" t="s">
        <v>7</v>
      </c>
      <c r="L1" s="4" t="s">
        <v>26</v>
      </c>
      <c r="M1" s="4" t="s">
        <v>25</v>
      </c>
      <c r="N1" s="6" t="s">
        <v>9</v>
      </c>
      <c r="O1" s="3" t="s">
        <v>10</v>
      </c>
      <c r="P1" s="3" t="s">
        <v>15</v>
      </c>
      <c r="Q1" s="1" t="s">
        <v>14</v>
      </c>
      <c r="R1" s="9"/>
    </row>
    <row r="2" spans="1:18" x14ac:dyDescent="0.25">
      <c r="A2" s="9"/>
      <c r="B2" s="7">
        <v>46023</v>
      </c>
      <c r="C2" s="8" t="s">
        <v>17</v>
      </c>
      <c r="D2" s="9">
        <v>1200</v>
      </c>
      <c r="E2" s="9">
        <v>400</v>
      </c>
      <c r="F2" s="9"/>
      <c r="G2" s="9">
        <v>800</v>
      </c>
      <c r="H2" s="9">
        <v>100</v>
      </c>
      <c r="I2" s="9"/>
      <c r="J2" s="9"/>
      <c r="K2" s="9"/>
      <c r="L2" s="9"/>
      <c r="M2" s="9"/>
      <c r="N2" s="10">
        <f>D2-H2-J2-K2-L2-M2+E2+F2</f>
        <v>1500</v>
      </c>
      <c r="O2" s="11">
        <f>I2</f>
        <v>0</v>
      </c>
      <c r="P2" s="11">
        <f>N2+O2</f>
        <v>1500</v>
      </c>
      <c r="Q2" s="9"/>
      <c r="R2" s="9"/>
    </row>
    <row r="3" spans="1:18" x14ac:dyDescent="0.25">
      <c r="A3" s="9" t="s">
        <v>13</v>
      </c>
      <c r="B3" s="7">
        <v>46023</v>
      </c>
      <c r="C3" s="9" t="s">
        <v>18</v>
      </c>
      <c r="D3" s="9"/>
      <c r="E3" s="9"/>
      <c r="F3" s="9"/>
      <c r="G3" s="9"/>
      <c r="H3" s="9"/>
      <c r="I3" s="9">
        <v>680</v>
      </c>
      <c r="J3" s="9"/>
      <c r="K3" s="9"/>
      <c r="L3" s="9"/>
      <c r="M3" s="9"/>
      <c r="N3" s="10">
        <f>N2+D3-H3-J3-K3-L3-M3+E3+F3</f>
        <v>1500</v>
      </c>
      <c r="O3" s="11">
        <f>I3+O2</f>
        <v>680</v>
      </c>
      <c r="P3" s="11">
        <f t="shared" ref="P3:P19" si="0">N3+O3</f>
        <v>2180</v>
      </c>
      <c r="Q3" s="9"/>
      <c r="R3" s="9"/>
    </row>
    <row r="4" spans="1:18" x14ac:dyDescent="0.25">
      <c r="A4" s="9"/>
      <c r="B4" s="7">
        <v>46023</v>
      </c>
      <c r="C4" s="9" t="s">
        <v>19</v>
      </c>
      <c r="D4" s="9"/>
      <c r="E4" s="9"/>
      <c r="F4" s="9"/>
      <c r="G4" s="9"/>
      <c r="H4" s="9"/>
      <c r="I4" s="9"/>
      <c r="J4" s="9">
        <v>80</v>
      </c>
      <c r="K4" s="9">
        <v>80</v>
      </c>
      <c r="L4" s="9"/>
      <c r="M4" s="9"/>
      <c r="N4" s="10">
        <f t="shared" ref="N4:N18" si="1">N3+D4-H4-J4-K4-L4-M4+E4+F4</f>
        <v>1340</v>
      </c>
      <c r="O4" s="11">
        <f>I4+O3</f>
        <v>680</v>
      </c>
      <c r="P4" s="11">
        <f t="shared" si="0"/>
        <v>2020</v>
      </c>
      <c r="Q4" s="9"/>
      <c r="R4" s="9"/>
    </row>
    <row r="5" spans="1:18" x14ac:dyDescent="0.25">
      <c r="A5" s="9"/>
      <c r="B5" s="7">
        <v>46023</v>
      </c>
      <c r="C5" s="9" t="s">
        <v>20</v>
      </c>
      <c r="D5" s="9"/>
      <c r="E5" s="9"/>
      <c r="F5" s="9"/>
      <c r="G5" s="9"/>
      <c r="H5" s="9"/>
      <c r="I5" s="9"/>
      <c r="J5" s="9">
        <v>70</v>
      </c>
      <c r="K5" s="9"/>
      <c r="L5" s="9"/>
      <c r="M5" s="9"/>
      <c r="N5" s="10">
        <f t="shared" si="1"/>
        <v>1270</v>
      </c>
      <c r="O5" s="11">
        <f>O4+I5</f>
        <v>680</v>
      </c>
      <c r="P5" s="11">
        <f t="shared" si="0"/>
        <v>1950</v>
      </c>
      <c r="Q5" s="9"/>
      <c r="R5" s="9"/>
    </row>
    <row r="6" spans="1:18" x14ac:dyDescent="0.25">
      <c r="A6" s="9"/>
      <c r="B6" s="7">
        <v>46023</v>
      </c>
      <c r="C6" s="9" t="s">
        <v>21</v>
      </c>
      <c r="D6" s="9"/>
      <c r="E6" s="9"/>
      <c r="F6" s="9"/>
      <c r="G6" s="9"/>
      <c r="H6" s="9"/>
      <c r="I6" s="9"/>
      <c r="J6" s="9">
        <v>100</v>
      </c>
      <c r="K6" s="9"/>
      <c r="L6" s="9"/>
      <c r="M6" s="9"/>
      <c r="N6" s="10">
        <f t="shared" si="1"/>
        <v>1170</v>
      </c>
      <c r="O6" s="11">
        <f>O5+I6</f>
        <v>680</v>
      </c>
      <c r="P6" s="11">
        <f t="shared" si="0"/>
        <v>1850</v>
      </c>
      <c r="Q6" s="9"/>
      <c r="R6" s="9"/>
    </row>
    <row r="7" spans="1:18" x14ac:dyDescent="0.25">
      <c r="A7" s="9"/>
      <c r="B7" s="7">
        <v>46023</v>
      </c>
      <c r="C7" s="9" t="s">
        <v>22</v>
      </c>
      <c r="D7" s="9"/>
      <c r="E7" s="9"/>
      <c r="F7" s="9"/>
      <c r="G7" s="9"/>
      <c r="H7" s="9"/>
      <c r="I7" s="9"/>
      <c r="J7" s="9">
        <v>20</v>
      </c>
      <c r="K7" s="9"/>
      <c r="L7" s="9"/>
      <c r="M7" s="9"/>
      <c r="N7" s="10">
        <f t="shared" si="1"/>
        <v>1150</v>
      </c>
      <c r="O7" s="11">
        <f>O6+I7</f>
        <v>680</v>
      </c>
      <c r="P7" s="11">
        <f t="shared" si="0"/>
        <v>1830</v>
      </c>
      <c r="Q7" s="9"/>
      <c r="R7" s="9"/>
    </row>
    <row r="8" spans="1:18" x14ac:dyDescent="0.25">
      <c r="A8" s="9"/>
      <c r="B8" s="7">
        <v>46023</v>
      </c>
      <c r="C8" s="9" t="s">
        <v>23</v>
      </c>
      <c r="D8" s="9"/>
      <c r="E8" s="9"/>
      <c r="F8" s="9"/>
      <c r="G8" s="9"/>
      <c r="H8" s="9"/>
      <c r="I8" s="9"/>
      <c r="J8" s="9"/>
      <c r="K8" s="9"/>
      <c r="L8" s="9"/>
      <c r="M8" s="9"/>
      <c r="N8" s="10">
        <f t="shared" si="1"/>
        <v>1150</v>
      </c>
      <c r="O8" s="11">
        <f>O7+I8</f>
        <v>680</v>
      </c>
      <c r="P8" s="11">
        <f t="shared" si="0"/>
        <v>1830</v>
      </c>
      <c r="Q8" s="9"/>
      <c r="R8" s="9"/>
    </row>
    <row r="9" spans="1:18" x14ac:dyDescent="0.25">
      <c r="A9" s="9"/>
      <c r="B9" s="7">
        <v>46024</v>
      </c>
      <c r="C9" s="9" t="s">
        <v>11</v>
      </c>
      <c r="D9" s="9"/>
      <c r="E9" s="9"/>
      <c r="F9" s="9"/>
      <c r="G9" s="9"/>
      <c r="H9" s="9"/>
      <c r="I9" s="9"/>
      <c r="J9" s="9"/>
      <c r="K9" s="9"/>
      <c r="L9" s="9"/>
      <c r="M9" s="9"/>
      <c r="N9" s="10">
        <f t="shared" si="1"/>
        <v>1150</v>
      </c>
      <c r="O9" s="11">
        <f>O8+I9</f>
        <v>680</v>
      </c>
      <c r="P9" s="11">
        <f t="shared" si="0"/>
        <v>1830</v>
      </c>
      <c r="Q9" s="9"/>
      <c r="R9" s="9"/>
    </row>
    <row r="10" spans="1:18" x14ac:dyDescent="0.25">
      <c r="A10" s="9"/>
      <c r="B10" s="7">
        <v>46024</v>
      </c>
      <c r="C10" s="9" t="s">
        <v>3</v>
      </c>
      <c r="D10" s="9">
        <v>1000</v>
      </c>
      <c r="E10" s="9"/>
      <c r="F10" s="9"/>
      <c r="G10" s="9"/>
      <c r="H10" s="9"/>
      <c r="I10" s="9"/>
      <c r="J10" s="9"/>
      <c r="K10" s="9"/>
      <c r="L10" s="9"/>
      <c r="M10" s="9"/>
      <c r="N10" s="10">
        <f t="shared" si="1"/>
        <v>2150</v>
      </c>
      <c r="O10" s="11">
        <f>O9+I10</f>
        <v>680</v>
      </c>
      <c r="P10" s="11">
        <f t="shared" si="0"/>
        <v>2830</v>
      </c>
      <c r="Q10" s="9"/>
      <c r="R10" s="9"/>
    </row>
    <row r="11" spans="1:18" x14ac:dyDescent="0.25">
      <c r="A11" s="9"/>
      <c r="B11" s="7">
        <v>46024</v>
      </c>
      <c r="C11" s="12" t="s">
        <v>12</v>
      </c>
      <c r="D11" s="9">
        <v>100</v>
      </c>
      <c r="E11" s="9"/>
      <c r="F11" s="9"/>
      <c r="G11" s="9"/>
      <c r="H11" s="9"/>
      <c r="I11" s="9"/>
      <c r="J11" s="9"/>
      <c r="K11" s="9"/>
      <c r="L11" s="9"/>
      <c r="M11" s="9"/>
      <c r="N11" s="10">
        <f t="shared" si="1"/>
        <v>2250</v>
      </c>
      <c r="O11" s="11">
        <f>O10+I11</f>
        <v>680</v>
      </c>
      <c r="P11" s="11">
        <f t="shared" si="0"/>
        <v>2930</v>
      </c>
      <c r="Q11" s="9"/>
      <c r="R11" s="9"/>
    </row>
    <row r="12" spans="1:18" x14ac:dyDescent="0.25">
      <c r="A12" s="9"/>
      <c r="B12" s="7">
        <v>46024</v>
      </c>
      <c r="C12" s="9" t="s">
        <v>19</v>
      </c>
      <c r="D12" s="9"/>
      <c r="E12" s="9"/>
      <c r="F12" s="9"/>
      <c r="G12" s="9"/>
      <c r="H12" s="9"/>
      <c r="I12" s="9"/>
      <c r="J12" s="9">
        <v>50</v>
      </c>
      <c r="K12" s="9"/>
      <c r="L12" s="9"/>
      <c r="M12" s="9"/>
      <c r="N12" s="10">
        <f t="shared" si="1"/>
        <v>2200</v>
      </c>
      <c r="O12" s="11">
        <f>O11+I12</f>
        <v>680</v>
      </c>
      <c r="P12" s="11">
        <f t="shared" si="0"/>
        <v>2880</v>
      </c>
      <c r="Q12" s="9"/>
      <c r="R12" s="9"/>
    </row>
    <row r="13" spans="1:18" x14ac:dyDescent="0.25">
      <c r="A13" s="9"/>
      <c r="B13" s="7">
        <v>46024</v>
      </c>
      <c r="C13" s="9" t="s">
        <v>20</v>
      </c>
      <c r="D13" s="9"/>
      <c r="E13" s="9"/>
      <c r="F13" s="9"/>
      <c r="G13" s="9"/>
      <c r="H13" s="9"/>
      <c r="I13" s="9"/>
      <c r="J13" s="9">
        <v>50</v>
      </c>
      <c r="K13" s="9"/>
      <c r="L13" s="9"/>
      <c r="M13" s="9"/>
      <c r="N13" s="10">
        <f t="shared" si="1"/>
        <v>2150</v>
      </c>
      <c r="O13" s="11">
        <f>O12+I13</f>
        <v>680</v>
      </c>
      <c r="P13" s="11">
        <f t="shared" si="0"/>
        <v>2830</v>
      </c>
      <c r="Q13" s="9"/>
      <c r="R13" s="9"/>
    </row>
    <row r="14" spans="1:18" x14ac:dyDescent="0.25">
      <c r="A14" s="9"/>
      <c r="B14" s="7">
        <v>46024</v>
      </c>
      <c r="C14" s="9" t="s">
        <v>21</v>
      </c>
      <c r="D14" s="9"/>
      <c r="E14" s="9"/>
      <c r="F14" s="9"/>
      <c r="G14" s="9"/>
      <c r="H14" s="9"/>
      <c r="I14" s="9"/>
      <c r="J14" s="9">
        <v>50</v>
      </c>
      <c r="K14" s="9"/>
      <c r="L14" s="9"/>
      <c r="M14" s="9"/>
      <c r="N14" s="10">
        <f t="shared" si="1"/>
        <v>2100</v>
      </c>
      <c r="O14" s="11">
        <f>O13+I14</f>
        <v>680</v>
      </c>
      <c r="P14" s="11">
        <f t="shared" si="0"/>
        <v>2780</v>
      </c>
      <c r="Q14" s="9"/>
      <c r="R14" s="9"/>
    </row>
    <row r="15" spans="1:18" x14ac:dyDescent="0.25">
      <c r="A15" s="9"/>
      <c r="B15" s="7">
        <v>46024</v>
      </c>
      <c r="C15" s="9" t="s">
        <v>24</v>
      </c>
      <c r="D15" s="9"/>
      <c r="E15" s="9"/>
      <c r="F15" s="9"/>
      <c r="G15" s="9"/>
      <c r="H15" s="9"/>
      <c r="I15" s="9">
        <v>500</v>
      </c>
      <c r="J15" s="9"/>
      <c r="K15" s="9"/>
      <c r="L15" s="9"/>
      <c r="M15" s="9"/>
      <c r="N15" s="10">
        <f t="shared" si="1"/>
        <v>2100</v>
      </c>
      <c r="O15" s="11">
        <f>O14+I15</f>
        <v>1180</v>
      </c>
      <c r="P15" s="11">
        <f t="shared" si="0"/>
        <v>3280</v>
      </c>
      <c r="Q15" s="9"/>
      <c r="R15" s="9"/>
    </row>
    <row r="16" spans="1:18" x14ac:dyDescent="0.25">
      <c r="A16" s="9"/>
      <c r="B16" s="7">
        <v>46024</v>
      </c>
      <c r="C16" s="9" t="s">
        <v>27</v>
      </c>
      <c r="D16" s="9"/>
      <c r="E16" s="9"/>
      <c r="F16" s="9"/>
      <c r="G16" s="9"/>
      <c r="H16" s="9"/>
      <c r="I16" s="9"/>
      <c r="J16" s="9"/>
      <c r="K16" s="9"/>
      <c r="L16" s="9">
        <v>1500</v>
      </c>
      <c r="M16" s="9">
        <v>200</v>
      </c>
      <c r="N16" s="10">
        <f t="shared" si="1"/>
        <v>400</v>
      </c>
      <c r="O16" s="11">
        <f>O15+I16</f>
        <v>1180</v>
      </c>
      <c r="P16" s="11">
        <f t="shared" si="0"/>
        <v>1580</v>
      </c>
      <c r="Q16" s="9"/>
      <c r="R16" s="9"/>
    </row>
    <row r="17" spans="1:18" x14ac:dyDescent="0.25">
      <c r="A17" s="9"/>
      <c r="B17" s="7">
        <v>46024</v>
      </c>
      <c r="C17" s="9" t="s">
        <v>29</v>
      </c>
      <c r="D17" s="9"/>
      <c r="E17" s="9"/>
      <c r="F17" s="9">
        <v>2000</v>
      </c>
      <c r="G17" s="9"/>
      <c r="H17" s="9"/>
      <c r="I17" s="9"/>
      <c r="J17" s="9"/>
      <c r="K17" s="9"/>
      <c r="L17" s="9"/>
      <c r="M17" s="9"/>
      <c r="N17" s="10">
        <f t="shared" si="1"/>
        <v>2400</v>
      </c>
      <c r="O17" s="11">
        <f>O16+I17</f>
        <v>1180</v>
      </c>
      <c r="P17" s="11">
        <f t="shared" si="0"/>
        <v>3580</v>
      </c>
      <c r="Q17" s="9"/>
      <c r="R17" s="9"/>
    </row>
    <row r="18" spans="1:18" x14ac:dyDescent="0.25">
      <c r="A18" s="9"/>
      <c r="B18" s="7">
        <v>46024</v>
      </c>
      <c r="C18" s="9" t="s">
        <v>23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10">
        <f t="shared" si="1"/>
        <v>2400</v>
      </c>
      <c r="O18" s="11">
        <f>O17+I18</f>
        <v>1180</v>
      </c>
      <c r="P18" s="11">
        <f t="shared" si="0"/>
        <v>3580</v>
      </c>
      <c r="Q18" s="9"/>
      <c r="R18" s="9"/>
    </row>
    <row r="19" spans="1:18" x14ac:dyDescent="0.25">
      <c r="A19" s="9"/>
      <c r="B19" s="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  <c r="O19" s="11"/>
      <c r="P19" s="11"/>
      <c r="Q19" s="9"/>
      <c r="R19" s="9"/>
    </row>
  </sheetData>
  <conditionalFormatting sqref="C1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shriom9 singh</dc:creator>
  <cp:lastModifiedBy>shriom9 singh</cp:lastModifiedBy>
  <dcterms:created xsi:type="dcterms:W3CDTF">2026-01-14T12:44:51Z</dcterms:created>
  <dcterms:modified xsi:type="dcterms:W3CDTF">2026-01-16T14:14:09Z</dcterms:modified>
</cp:coreProperties>
</file>